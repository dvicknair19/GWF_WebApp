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papichulo/Desktop/GreyWolf Financial/"/>
    </mc:Choice>
  </mc:AlternateContent>
  <xr:revisionPtr revIDLastSave="0" documentId="13_ncr:1_{59C6DE3C-BB0A-6E4E-9196-0B3C06EBC612}" xr6:coauthVersionLast="47" xr6:coauthVersionMax="47" xr10:uidLastSave="{00000000-0000-0000-0000-000000000000}"/>
  <bookViews>
    <workbookView xWindow="0" yWindow="500" windowWidth="28800" windowHeight="17500" activeTab="1" xr2:uid="{C60352B5-6175-4370-BD2A-C9A013A1B1E2}"/>
  </bookViews>
  <sheets>
    <sheet name="ANALYSIS" sheetId="1" r:id="rId1"/>
    <sheet name="FINAL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G5" i="1"/>
  <c r="G13" i="1" s="1"/>
  <c r="G6" i="1"/>
  <c r="E5" i="1"/>
  <c r="E6" i="1"/>
  <c r="I10" i="2"/>
  <c r="F10" i="2"/>
  <c r="H9" i="2"/>
  <c r="F9" i="2"/>
  <c r="I9" i="2"/>
  <c r="J5" i="1"/>
  <c r="J6" i="1" l="1"/>
  <c r="J13" i="1" s="1"/>
  <c r="J14" i="1" s="1"/>
  <c r="J15" i="1" s="1"/>
  <c r="G14" i="1"/>
  <c r="G15" i="1" s="1"/>
  <c r="E14" i="1"/>
  <c r="E15" i="1" s="1"/>
  <c r="J10" i="2"/>
  <c r="J12" i="2" s="1"/>
  <c r="J9" i="2"/>
  <c r="K5" i="1"/>
  <c r="H6" i="1"/>
  <c r="H5" i="1"/>
  <c r="K6" i="1"/>
  <c r="O13" i="1" l="1"/>
  <c r="M13" i="1"/>
  <c r="O14" i="1"/>
  <c r="M14" i="1"/>
  <c r="O15" i="1" l="1"/>
  <c r="M15" i="1"/>
</calcChain>
</file>

<file path=xl/sharedStrings.xml><?xml version="1.0" encoding="utf-8"?>
<sst xmlns="http://schemas.openxmlformats.org/spreadsheetml/2006/main" count="54" uniqueCount="44">
  <si>
    <t>SKU</t>
  </si>
  <si>
    <t>QTY</t>
  </si>
  <si>
    <t>Unit List Price</t>
  </si>
  <si>
    <t>Ext. List Price</t>
  </si>
  <si>
    <t>Customer Unit Price</t>
  </si>
  <si>
    <t>Customer Ext. Price</t>
  </si>
  <si>
    <t>Disc.</t>
  </si>
  <si>
    <t>Target Discount</t>
  </si>
  <si>
    <t>Target Ext. Net</t>
  </si>
  <si>
    <t>Target Savings</t>
  </si>
  <si>
    <t>IMPROVEMENT COMPARED TO QUOTE</t>
  </si>
  <si>
    <t>PRODUCT</t>
  </si>
  <si>
    <t>UNIT</t>
  </si>
  <si>
    <t>LIST NET/MO</t>
  </si>
  <si>
    <t>DISCOUNT %</t>
  </si>
  <si>
    <t>TARGET DISCOUNT</t>
  </si>
  <si>
    <t>TARGET NET/MO</t>
  </si>
  <si>
    <t>TARGET SAV/MO</t>
  </si>
  <si>
    <t>EXT NET/MO</t>
  </si>
  <si>
    <t>EXT SAV/MO</t>
  </si>
  <si>
    <t>LIST NET/YR</t>
  </si>
  <si>
    <t>EXT NET/YR</t>
  </si>
  <si>
    <t>TARGET NET/YR</t>
  </si>
  <si>
    <t>EXT SAV/YR</t>
  </si>
  <si>
    <t>TARGET SAV/YR</t>
  </si>
  <si>
    <t>LIST NET/TERM</t>
  </si>
  <si>
    <t>EXT NET/TERM</t>
  </si>
  <si>
    <t>TARGET NET/TERM</t>
  </si>
  <si>
    <t>EXT SAV/TERM</t>
  </si>
  <si>
    <t>TARGET SAV/TERM</t>
  </si>
  <si>
    <t>###</t>
  </si>
  <si>
    <t>Sub Total</t>
  </si>
  <si>
    <t>Grand Total</t>
  </si>
  <si>
    <t>(Subject)</t>
  </si>
  <si>
    <t>TARGET NET</t>
  </si>
  <si>
    <t>TARGET SAV</t>
  </si>
  <si>
    <t>LIST NET</t>
  </si>
  <si>
    <t>LIST PRICE</t>
  </si>
  <si>
    <t>EXTENDED PRICE</t>
  </si>
  <si>
    <t>EXTENDED NET</t>
  </si>
  <si>
    <t>mo/yr</t>
  </si>
  <si>
    <t>yr/term</t>
  </si>
  <si>
    <t>ENTRY FIELD</t>
  </si>
  <si>
    <t>CALCULATED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</si>
</sst>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1"/>
      <color rgb="FF000000"/>
      <name val="Aptos Display"/>
      <family val="2"/>
    </font>
    <font>
      <b/>
      <sz val="11"/>
      <color rgb="FFFFFFFF"/>
      <name val="Aptos Display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0"/>
      <name val="Arial Bold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9.9978637043366805E-2"/>
        <bgColor indexed="64"/>
      </patternFill>
    </fill>
    <fill>
      <patternFill patternType="solid">
        <fgColor theme="3" tint="0.74999237037263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F0F6FD"/>
      </left>
      <right style="thin">
        <color rgb="FFF0F6FD"/>
      </right>
      <top/>
      <bottom style="thin">
        <color rgb="FFF0F6F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F0F6FD"/>
      </left>
      <right/>
      <top/>
      <bottom style="thin">
        <color rgb="FFF0F6FD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9" fontId="2" fillId="3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1" applyNumberFormat="1" applyFont="1" applyBorder="1" applyAlignment="1">
      <alignment horizontal="center" vertical="center"/>
    </xf>
    <xf numFmtId="164" fontId="7" fillId="0" borderId="5" xfId="1" applyNumberFormat="1" applyFont="1" applyBorder="1" applyAlignment="1">
      <alignment horizontal="center" vertical="center"/>
    </xf>
    <xf numFmtId="9" fontId="7" fillId="0" borderId="5" xfId="2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164" fontId="7" fillId="4" borderId="8" xfId="0" applyNumberFormat="1" applyFont="1" applyFill="1" applyBorder="1" applyAlignment="1">
      <alignment horizontal="center" vertical="center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8" xfId="2" applyNumberFormat="1" applyFont="1" applyFill="1" applyBorder="1" applyAlignment="1">
      <alignment horizontal="center" vertical="center"/>
    </xf>
    <xf numFmtId="164" fontId="4" fillId="4" borderId="9" xfId="0" applyNumberFormat="1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3" fillId="0" borderId="0" xfId="3" applyAlignment="1">
      <alignment horizontal="center" vertical="center"/>
    </xf>
    <xf numFmtId="164" fontId="8" fillId="5" borderId="8" xfId="2" applyNumberFormat="1" applyFont="1" applyFill="1" applyBorder="1" applyAlignment="1">
      <alignment horizontal="center" vertical="center"/>
    </xf>
    <xf numFmtId="164" fontId="9" fillId="0" borderId="15" xfId="3" applyNumberFormat="1" applyFont="1" applyBorder="1" applyAlignment="1">
      <alignment horizontal="center" vertical="center"/>
    </xf>
    <xf numFmtId="164" fontId="9" fillId="0" borderId="0" xfId="3" applyNumberFormat="1" applyFont="1" applyAlignment="1">
      <alignment horizontal="center" vertical="center"/>
    </xf>
    <xf numFmtId="0" fontId="9" fillId="0" borderId="15" xfId="3" applyFont="1" applyBorder="1" applyAlignment="1">
      <alignment horizontal="center" vertical="center"/>
    </xf>
    <xf numFmtId="0" fontId="9" fillId="0" borderId="19" xfId="3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5" xfId="3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3" fontId="12" fillId="0" borderId="0" xfId="3" applyNumberFormat="1" applyFont="1" applyAlignment="1">
      <alignment horizontal="center" vertical="center"/>
    </xf>
    <xf numFmtId="164" fontId="12" fillId="0" borderId="0" xfId="3" applyNumberFormat="1" applyFont="1" applyAlignment="1">
      <alignment horizontal="center" vertical="center"/>
    </xf>
    <xf numFmtId="9" fontId="12" fillId="0" borderId="0" xfId="2" applyFont="1" applyFill="1" applyBorder="1" applyAlignment="1">
      <alignment horizontal="center" vertical="center"/>
    </xf>
    <xf numFmtId="9" fontId="1" fillId="0" borderId="0" xfId="2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" fontId="12" fillId="0" borderId="0" xfId="3" applyNumberFormat="1" applyFont="1" applyAlignment="1">
      <alignment horizontal="center" vertical="center"/>
    </xf>
    <xf numFmtId="164" fontId="1" fillId="0" borderId="0" xfId="1" applyNumberFormat="1" applyFont="1" applyFill="1" applyBorder="1" applyAlignment="1">
      <alignment horizontal="center" vertical="center"/>
    </xf>
    <xf numFmtId="0" fontId="3" fillId="6" borderId="0" xfId="3" applyFill="1" applyAlignment="1">
      <alignment horizontal="center" vertical="center"/>
    </xf>
    <xf numFmtId="9" fontId="1" fillId="6" borderId="0" xfId="2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9" fontId="12" fillId="7" borderId="0" xfId="2" applyFont="1" applyFill="1" applyBorder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4" fontId="1" fillId="7" borderId="0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12" fillId="7" borderId="0" xfId="2" applyNumberFormat="1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0" fontId="4" fillId="0" borderId="3" xfId="3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3CC36583-BE90-48F1-A548-073482E392D0}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&quot;$&quot;#,##0.00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6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$&quot;#,##0.00"/>
      <fill>
        <patternFill patternType="solid">
          <fgColor indexed="64"/>
          <bgColor theme="3" tint="0.74999237037263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&quot;$&quot;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44BEEA-159A-450E-9EDD-5E10FA073106}" name="Table2" displayName="Table2" ref="A4:K6" totalsRowShown="0" headerRowDxfId="12" dataDxfId="11" headerRowCellStyle="Normal 2">
  <autoFilter ref="A4:K6" xr:uid="{3444BEEA-159A-450E-9EDD-5E10FA073106}"/>
  <tableColumns count="11">
    <tableColumn id="1" xr3:uid="{F4615468-F1D9-4C62-A5E6-CA849D3D8CB2}" name="PRODUCT" dataDxfId="10" dataCellStyle="Normal 2"/>
    <tableColumn id="2" xr3:uid="{DD471C68-27B5-4B3A-86B6-475F46AC4B27}" name="UNIT" dataDxfId="9" dataCellStyle="Normal 2"/>
    <tableColumn id="3" xr3:uid="{2FC17129-5C37-4B64-9497-C5C676DBA50B}" name="QTY" dataDxfId="8"/>
    <tableColumn id="4" xr3:uid="{50386A9F-DF4B-4FD1-8E97-F063D32C590A}" name="LIST PRICE" dataDxfId="7" dataCellStyle="Normal 2"/>
    <tableColumn id="5" xr3:uid="{ED83C214-FC7B-4431-88CE-654778329C2C}" name="LIST NET" dataDxfId="6" dataCellStyle="Percent">
      <calculatedColumnFormula>Table2[[#This Row],[LIST PRICE]]*Table2[[#This Row],[QTY]]</calculatedColumnFormula>
    </tableColumn>
    <tableColumn id="6" xr3:uid="{782489CE-AB85-48C3-8D50-746802394092}" name="EXTENDED PRICE" dataDxfId="5" dataCellStyle="Normal 2"/>
    <tableColumn id="7" xr3:uid="{3D8C9787-3825-45BF-A4F9-A1ACDE6E4B63}" name="EXTENDED NET" dataDxfId="4" dataCellStyle="Percent">
      <calculatedColumnFormula>Table2[[#This Row],[EXTENDED PRICE]]*Table2[[#This Row],[QTY]]</calculatedColumnFormula>
    </tableColumn>
    <tableColumn id="8" xr3:uid="{F13E50D7-58A1-40E4-9600-F1155B7CC682}" name="DISCOUNT %" dataDxfId="3" dataCellStyle="Percent">
      <calculatedColumnFormula>1-(G5/E5)</calculatedColumnFormula>
    </tableColumn>
    <tableColumn id="9" xr3:uid="{D89305C3-A2CE-495C-A821-C272D7842AF8}" name="TARGET DISCOUNT" dataDxfId="2" dataCellStyle="Percent"/>
    <tableColumn id="10" xr3:uid="{D824FEC4-2AFF-4AC8-A753-80C865890BF7}" name="TARGET NET" dataDxfId="1">
      <calculatedColumnFormula>(1-I5)*E5</calculatedColumnFormula>
    </tableColumn>
    <tableColumn id="11" xr3:uid="{933CF96E-5749-47D6-9D87-50C5B0F36158}" name="TARGET SAV" dataDxfId="0">
      <calculatedColumnFormula>G5-J5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WF Color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4472C4"/>
      </a:accent1>
      <a:accent2>
        <a:srgbClr val="BFBFBF"/>
      </a:accent2>
      <a:accent3>
        <a:srgbClr val="F6C6AC"/>
      </a:accent3>
      <a:accent4>
        <a:srgbClr val="B3E5A1"/>
      </a:accent4>
      <a:accent5>
        <a:srgbClr val="95DCF7"/>
      </a:accent5>
      <a:accent6>
        <a:srgbClr val="D5BECB"/>
      </a:accent6>
      <a:hlink>
        <a:srgbClr val="AEAEAE"/>
      </a:hlink>
      <a:folHlink>
        <a:srgbClr val="595959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73EB-B69D-484B-AB46-77658C954F59}">
  <dimension ref="A1:Q19"/>
  <sheetViews>
    <sheetView workbookViewId="0">
      <selection activeCell="E17" sqref="E17"/>
    </sheetView>
  </sheetViews>
  <sheetFormatPr baseColWidth="10" defaultColWidth="9.1640625" defaultRowHeight="15"/>
  <cols>
    <col min="1" max="1" width="27.33203125" style="3" bestFit="1" customWidth="1"/>
    <col min="2" max="2" width="10" style="3" bestFit="1" customWidth="1"/>
    <col min="3" max="3" width="6.83203125" style="3" customWidth="1"/>
    <col min="4" max="11" width="25.6640625" style="3" customWidth="1"/>
    <col min="12" max="12" width="14.83203125" style="3" bestFit="1" customWidth="1"/>
    <col min="13" max="13" width="12.6640625" style="3" bestFit="1" customWidth="1"/>
    <col min="14" max="14" width="20.6640625" style="3" bestFit="1" customWidth="1"/>
    <col min="15" max="15" width="8.6640625" style="3" bestFit="1" customWidth="1"/>
    <col min="16" max="17" width="8.1640625" style="3" bestFit="1" customWidth="1"/>
    <col min="18" max="16384" width="9.1640625" style="3"/>
  </cols>
  <sheetData>
    <row r="1" spans="1:17">
      <c r="A1" s="46" t="s">
        <v>42</v>
      </c>
    </row>
    <row r="2" spans="1:17">
      <c r="A2" s="50" t="s">
        <v>43</v>
      </c>
    </row>
    <row r="3" spans="1:17">
      <c r="A3"/>
      <c r="B3"/>
      <c r="C3"/>
      <c r="D3"/>
      <c r="E3"/>
      <c r="F3"/>
      <c r="G3"/>
      <c r="H3"/>
      <c r="I3"/>
      <c r="J3"/>
      <c r="K3" s="25"/>
    </row>
    <row r="4" spans="1:17">
      <c r="A4" s="34" t="s">
        <v>11</v>
      </c>
      <c r="B4" s="34" t="s">
        <v>12</v>
      </c>
      <c r="C4" s="34" t="s">
        <v>1</v>
      </c>
      <c r="D4" s="34" t="s">
        <v>37</v>
      </c>
      <c r="E4" s="34" t="s">
        <v>36</v>
      </c>
      <c r="F4" s="34" t="s">
        <v>38</v>
      </c>
      <c r="G4" s="34" t="s">
        <v>39</v>
      </c>
      <c r="H4" s="34" t="s">
        <v>14</v>
      </c>
      <c r="I4" s="34" t="s">
        <v>15</v>
      </c>
      <c r="J4" s="35" t="s">
        <v>34</v>
      </c>
      <c r="K4" s="35" t="s">
        <v>35</v>
      </c>
      <c r="L4" s="26"/>
      <c r="M4" s="26"/>
      <c r="N4" s="26"/>
      <c r="O4" s="32"/>
    </row>
    <row r="5" spans="1:17">
      <c r="A5" s="36" t="s">
        <v>30</v>
      </c>
      <c r="B5" s="36"/>
      <c r="C5" s="37"/>
      <c r="D5" s="38"/>
      <c r="E5" s="51">
        <f>Table2[[#This Row],[LIST PRICE]]*Table2[[#This Row],[QTY]]</f>
        <v>0</v>
      </c>
      <c r="F5" s="38"/>
      <c r="G5" s="51">
        <f>Table2[[#This Row],[EXTENDED PRICE]]*Table2[[#This Row],[QTY]]</f>
        <v>0</v>
      </c>
      <c r="H5" s="47" t="e">
        <f>1-(G5/E5)</f>
        <v>#DIV/0!</v>
      </c>
      <c r="I5" s="45"/>
      <c r="J5" s="48">
        <f>(1-I5)*E5</f>
        <v>0</v>
      </c>
      <c r="K5" s="48">
        <f>G5-J5</f>
        <v>0</v>
      </c>
      <c r="L5" s="26"/>
      <c r="M5" s="26"/>
      <c r="N5" s="26"/>
      <c r="O5" s="32"/>
    </row>
    <row r="6" spans="1:17">
      <c r="A6" s="36" t="s">
        <v>30</v>
      </c>
      <c r="B6" s="36"/>
      <c r="C6" s="42"/>
      <c r="D6" s="38"/>
      <c r="E6" s="51">
        <f>Table2[[#This Row],[LIST PRICE]]*Table2[[#This Row],[QTY]]</f>
        <v>0</v>
      </c>
      <c r="F6" s="38"/>
      <c r="G6" s="51">
        <f>Table2[[#This Row],[EXTENDED PRICE]]*Table2[[#This Row],[QTY]]</f>
        <v>0</v>
      </c>
      <c r="H6" s="47" t="e">
        <f>1-(G6/E6)</f>
        <v>#DIV/0!</v>
      </c>
      <c r="I6" s="45"/>
      <c r="J6" s="48">
        <f>(1-I6)*E6</f>
        <v>0</v>
      </c>
      <c r="K6" s="49">
        <f>G6-J6</f>
        <v>0</v>
      </c>
      <c r="L6" s="26"/>
      <c r="M6" s="26"/>
      <c r="N6" s="26"/>
      <c r="O6" s="32"/>
    </row>
    <row r="7" spans="1:17">
      <c r="A7" s="36"/>
      <c r="B7" s="36"/>
      <c r="C7" s="42"/>
      <c r="D7" s="38"/>
      <c r="E7" s="38"/>
      <c r="F7" s="38"/>
      <c r="G7" s="38"/>
      <c r="H7" s="39"/>
      <c r="I7" s="40"/>
      <c r="J7" s="41"/>
      <c r="K7" s="43"/>
      <c r="L7" s="26"/>
      <c r="M7" s="26"/>
      <c r="N7" s="26"/>
      <c r="O7" s="32"/>
    </row>
    <row r="8" spans="1:17">
      <c r="A8" s="36"/>
      <c r="B8" s="36"/>
      <c r="C8" s="42"/>
      <c r="D8" s="38"/>
      <c r="E8" s="38"/>
      <c r="F8" s="38"/>
      <c r="G8" s="38"/>
      <c r="H8" s="39"/>
      <c r="I8" s="40"/>
      <c r="J8" s="41"/>
      <c r="K8" s="43"/>
      <c r="L8" s="26"/>
      <c r="M8" s="26"/>
      <c r="N8" s="26"/>
      <c r="O8" s="32"/>
    </row>
    <row r="9" spans="1:17">
      <c r="A9" s="36"/>
      <c r="B9" s="36"/>
      <c r="C9" s="42"/>
      <c r="D9" s="38"/>
      <c r="E9" s="38"/>
      <c r="F9" s="38"/>
      <c r="G9" s="38"/>
      <c r="H9" s="39"/>
      <c r="I9" s="40"/>
      <c r="J9" s="41"/>
      <c r="K9" s="43"/>
      <c r="L9" s="26"/>
      <c r="M9" s="26"/>
      <c r="N9" s="26"/>
      <c r="O9" s="32"/>
    </row>
    <row r="10" spans="1:17">
      <c r="A10" s="36"/>
      <c r="B10" s="36"/>
      <c r="C10" s="42"/>
      <c r="D10" s="38"/>
      <c r="E10" s="38"/>
      <c r="F10" s="38"/>
      <c r="G10" s="38"/>
      <c r="H10" s="39"/>
      <c r="I10" s="40"/>
      <c r="J10" s="41"/>
      <c r="K10" s="43"/>
      <c r="L10" s="26"/>
      <c r="M10" s="26"/>
      <c r="N10" s="26"/>
      <c r="O10" s="32"/>
    </row>
    <row r="11" spans="1:17">
      <c r="A11" s="36"/>
      <c r="B11" s="36"/>
      <c r="C11" s="42"/>
      <c r="D11" s="38"/>
      <c r="E11" s="38"/>
      <c r="F11" s="38"/>
      <c r="G11" s="38"/>
      <c r="H11" s="39"/>
      <c r="I11" s="40"/>
      <c r="J11" s="41"/>
      <c r="K11" s="43"/>
      <c r="L11" s="26"/>
      <c r="M11" s="26"/>
      <c r="N11" s="26"/>
      <c r="O11" s="32"/>
    </row>
    <row r="12" spans="1:17">
      <c r="A12" s="36"/>
      <c r="B12" s="36"/>
      <c r="C12" s="42"/>
      <c r="D12" s="38"/>
      <c r="E12" s="38"/>
      <c r="F12" s="38"/>
      <c r="G12" s="38"/>
      <c r="H12" s="39"/>
      <c r="I12" s="40"/>
      <c r="J12" s="41"/>
      <c r="K12" s="43"/>
      <c r="L12" s="26"/>
      <c r="M12" s="26"/>
      <c r="N12" s="26"/>
      <c r="O12" s="32"/>
    </row>
    <row r="13" spans="1:17">
      <c r="A13" s="30"/>
      <c r="B13" s="33"/>
      <c r="C13" s="33"/>
      <c r="D13" s="30" t="s">
        <v>13</v>
      </c>
      <c r="E13" s="28">
        <f>SUM(E5:E6)</f>
        <v>0</v>
      </c>
      <c r="F13" s="30" t="s">
        <v>18</v>
      </c>
      <c r="G13" s="28">
        <f>SUM(G5:G6)</f>
        <v>0</v>
      </c>
      <c r="H13" s="26"/>
      <c r="I13" s="30" t="s">
        <v>16</v>
      </c>
      <c r="J13" s="28">
        <f>SUM(J5:J6)</f>
        <v>0</v>
      </c>
      <c r="K13" s="32"/>
      <c r="L13" s="30" t="s">
        <v>19</v>
      </c>
      <c r="M13" s="28">
        <f>E13-G13</f>
        <v>0</v>
      </c>
      <c r="N13" s="31" t="s">
        <v>17</v>
      </c>
      <c r="O13" s="29">
        <f>E13-J13</f>
        <v>0</v>
      </c>
    </row>
    <row r="14" spans="1:17">
      <c r="A14" s="26"/>
      <c r="B14" s="26" t="s">
        <v>40</v>
      </c>
      <c r="C14" s="44" t="s">
        <v>30</v>
      </c>
      <c r="D14" s="25" t="s">
        <v>20</v>
      </c>
      <c r="E14" s="25" t="e">
        <f>E13*C14</f>
        <v>#VALUE!</v>
      </c>
      <c r="F14" s="25" t="s">
        <v>21</v>
      </c>
      <c r="G14" s="25" t="e">
        <f>G13*C14</f>
        <v>#VALUE!</v>
      </c>
      <c r="H14" s="26"/>
      <c r="I14" s="25" t="s">
        <v>22</v>
      </c>
      <c r="J14" s="25" t="e">
        <f>J13*C14</f>
        <v>#VALUE!</v>
      </c>
      <c r="K14" s="32"/>
      <c r="L14" s="25" t="s">
        <v>23</v>
      </c>
      <c r="M14" s="28" t="e">
        <f>E14-G14</f>
        <v>#VALUE!</v>
      </c>
      <c r="N14" s="25" t="s">
        <v>24</v>
      </c>
      <c r="O14" s="29" t="e">
        <f>E14-J14</f>
        <v>#VALUE!</v>
      </c>
      <c r="P14"/>
      <c r="Q14"/>
    </row>
    <row r="15" spans="1:17">
      <c r="A15" s="26"/>
      <c r="B15" s="26" t="s">
        <v>41</v>
      </c>
      <c r="C15" s="44" t="s">
        <v>30</v>
      </c>
      <c r="D15" s="25" t="s">
        <v>25</v>
      </c>
      <c r="E15" s="29" t="e">
        <f>E14*C15</f>
        <v>#VALUE!</v>
      </c>
      <c r="F15" s="25" t="s">
        <v>26</v>
      </c>
      <c r="G15" s="29" t="e">
        <f>G14*C15</f>
        <v>#VALUE!</v>
      </c>
      <c r="H15" s="26"/>
      <c r="I15" s="25" t="s">
        <v>27</v>
      </c>
      <c r="J15" s="29" t="e">
        <f>J14*C15</f>
        <v>#VALUE!</v>
      </c>
      <c r="K15" s="32"/>
      <c r="L15" s="25" t="s">
        <v>28</v>
      </c>
      <c r="M15" s="28" t="e">
        <f>E15-G15</f>
        <v>#VALUE!</v>
      </c>
      <c r="N15" s="25" t="s">
        <v>29</v>
      </c>
      <c r="O15" s="29" t="e">
        <f>E15-J15</f>
        <v>#VALUE!</v>
      </c>
    </row>
    <row r="16" spans="1:17">
      <c r="B16" s="26"/>
      <c r="C16" s="26"/>
      <c r="D16" s="26"/>
      <c r="E16" s="26"/>
      <c r="F16"/>
      <c r="G16"/>
      <c r="H16"/>
      <c r="I16"/>
      <c r="J16"/>
      <c r="K16"/>
      <c r="L16"/>
      <c r="M16" s="26"/>
      <c r="N16" s="26"/>
    </row>
    <row r="17" spans="4:12">
      <c r="D17"/>
      <c r="E17"/>
      <c r="F17"/>
      <c r="G17"/>
      <c r="H17"/>
      <c r="I17"/>
      <c r="J17"/>
      <c r="K17"/>
      <c r="L17"/>
    </row>
    <row r="18" spans="4:12">
      <c r="D18"/>
      <c r="E18"/>
      <c r="F18"/>
      <c r="G18"/>
      <c r="H18"/>
      <c r="I18"/>
      <c r="J18"/>
      <c r="K18"/>
      <c r="L18"/>
    </row>
    <row r="19" spans="4:12">
      <c r="F19"/>
      <c r="G19"/>
      <c r="H19"/>
      <c r="I19"/>
      <c r="J19"/>
      <c r="K19"/>
      <c r="L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C937-EED2-40AC-9065-D5D9280DF2D8}">
  <dimension ref="A1:L12"/>
  <sheetViews>
    <sheetView tabSelected="1" workbookViewId="0">
      <selection activeCell="L9" sqref="L9"/>
    </sheetView>
  </sheetViews>
  <sheetFormatPr baseColWidth="10" defaultColWidth="8.83203125" defaultRowHeight="15"/>
  <cols>
    <col min="1" max="1" width="18.6640625" customWidth="1"/>
    <col min="2" max="2" width="10.6640625" customWidth="1"/>
    <col min="3" max="6" width="20.6640625" customWidth="1"/>
    <col min="7" max="8" width="10.6640625" customWidth="1"/>
    <col min="9" max="10" width="20.6640625" customWidth="1"/>
    <col min="12" max="12" width="10.1640625" bestFit="1" customWidth="1"/>
  </cols>
  <sheetData>
    <row r="1" spans="1:12" ht="16" thickBot="1">
      <c r="A1" s="52" t="s">
        <v>33</v>
      </c>
      <c r="B1" s="53"/>
      <c r="C1" s="53"/>
      <c r="D1" s="53"/>
      <c r="E1" s="53"/>
      <c r="F1" s="53"/>
      <c r="G1" s="53"/>
      <c r="H1" s="53"/>
      <c r="I1" s="53"/>
      <c r="J1" s="54"/>
      <c r="K1" s="3"/>
      <c r="L1" s="3"/>
    </row>
    <row r="2" spans="1:12" s="1" customFormat="1" ht="30" customHeight="1">
      <c r="A2" s="21" t="s">
        <v>0</v>
      </c>
      <c r="B2" s="22" t="s">
        <v>1</v>
      </c>
      <c r="C2" s="22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3" t="s">
        <v>7</v>
      </c>
      <c r="I2" s="23" t="s">
        <v>8</v>
      </c>
      <c r="J2" s="24" t="s">
        <v>9</v>
      </c>
      <c r="K2" s="4"/>
      <c r="L2" s="4"/>
    </row>
    <row r="3" spans="1:12">
      <c r="A3" s="6" t="s">
        <v>30</v>
      </c>
      <c r="B3" s="7"/>
      <c r="C3" s="8"/>
      <c r="D3" s="8"/>
      <c r="E3" s="8"/>
      <c r="F3" s="8"/>
      <c r="G3" s="9"/>
      <c r="H3" s="9"/>
      <c r="I3" s="8"/>
      <c r="J3" s="10"/>
      <c r="K3" s="5"/>
      <c r="L3" s="5"/>
    </row>
    <row r="4" spans="1:12">
      <c r="A4" s="6" t="s">
        <v>30</v>
      </c>
      <c r="B4" s="7"/>
      <c r="C4" s="8"/>
      <c r="D4" s="8"/>
      <c r="E4" s="8"/>
      <c r="F4" s="8"/>
      <c r="G4" s="9"/>
      <c r="H4" s="9"/>
      <c r="I4" s="8"/>
      <c r="J4" s="10"/>
      <c r="K4" s="3"/>
      <c r="L4" s="3"/>
    </row>
    <row r="5" spans="1:12">
      <c r="A5" s="6" t="s">
        <v>30</v>
      </c>
      <c r="B5" s="7"/>
      <c r="C5" s="8"/>
      <c r="D5" s="8"/>
      <c r="E5" s="8"/>
      <c r="F5" s="8"/>
      <c r="G5" s="9"/>
      <c r="H5" s="9"/>
      <c r="I5" s="8"/>
      <c r="J5" s="10"/>
      <c r="K5" s="3"/>
      <c r="L5" s="5"/>
    </row>
    <row r="6" spans="1:12">
      <c r="A6" s="6" t="s">
        <v>30</v>
      </c>
      <c r="B6" s="7"/>
      <c r="C6" s="8"/>
      <c r="D6" s="8"/>
      <c r="E6" s="8"/>
      <c r="F6" s="8"/>
      <c r="G6" s="9"/>
      <c r="H6" s="9"/>
      <c r="I6" s="8"/>
      <c r="J6" s="10"/>
      <c r="K6" s="3"/>
      <c r="L6" s="5"/>
    </row>
    <row r="7" spans="1:12">
      <c r="A7" s="6" t="s">
        <v>30</v>
      </c>
      <c r="B7" s="7"/>
      <c r="C7" s="8"/>
      <c r="D7" s="8"/>
      <c r="E7" s="8"/>
      <c r="F7" s="8"/>
      <c r="G7" s="9"/>
      <c r="H7" s="9"/>
      <c r="I7" s="8"/>
      <c r="J7" s="10"/>
      <c r="K7" s="3"/>
      <c r="L7" s="5"/>
    </row>
    <row r="8" spans="1:12">
      <c r="A8" s="6" t="s">
        <v>30</v>
      </c>
      <c r="B8" s="7"/>
      <c r="C8" s="8"/>
      <c r="D8" s="8"/>
      <c r="E8" s="8"/>
      <c r="F8" s="8"/>
      <c r="G8" s="9"/>
      <c r="H8" s="9"/>
      <c r="I8" s="8"/>
      <c r="J8" s="10"/>
      <c r="K8" s="3"/>
      <c r="L8" s="5"/>
    </row>
    <row r="9" spans="1:12" ht="16" thickBot="1">
      <c r="A9" s="11" t="s">
        <v>31</v>
      </c>
      <c r="B9" s="12"/>
      <c r="C9" s="13"/>
      <c r="D9" s="13"/>
      <c r="E9" s="13"/>
      <c r="F9" s="14">
        <f>SUM(F3:F8)*12</f>
        <v>0</v>
      </c>
      <c r="G9" s="13"/>
      <c r="H9" s="13" t="e">
        <f>AVERAGE(H3:H8)</f>
        <v>#DIV/0!</v>
      </c>
      <c r="I9" s="15">
        <f>SUM(I3:I8)*12</f>
        <v>0</v>
      </c>
      <c r="J9" s="16">
        <f>F9-I9</f>
        <v>0</v>
      </c>
      <c r="K9" s="3"/>
      <c r="L9" s="3"/>
    </row>
    <row r="10" spans="1:12" ht="16" thickBot="1">
      <c r="A10" s="17" t="s">
        <v>32</v>
      </c>
      <c r="B10" s="18"/>
      <c r="C10" s="18"/>
      <c r="D10" s="18"/>
      <c r="E10" s="18"/>
      <c r="F10" s="14">
        <f>F9</f>
        <v>0</v>
      </c>
      <c r="G10" s="13"/>
      <c r="H10" s="13"/>
      <c r="I10" s="27">
        <f>I9</f>
        <v>0</v>
      </c>
      <c r="J10" s="19">
        <f>F10-I10</f>
        <v>0</v>
      </c>
      <c r="K10" s="3"/>
      <c r="L10" s="3"/>
    </row>
    <row r="11" spans="1:12" ht="16" thickBo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3"/>
      <c r="L11" s="3"/>
    </row>
    <row r="12" spans="1:12" ht="16" thickBot="1">
      <c r="A12" s="20"/>
      <c r="B12" s="20"/>
      <c r="C12" s="20"/>
      <c r="D12" s="20"/>
      <c r="E12" s="20"/>
      <c r="F12" s="55" t="s">
        <v>10</v>
      </c>
      <c r="G12" s="56"/>
      <c r="H12" s="56"/>
      <c r="I12" s="56"/>
      <c r="J12" s="2" t="e">
        <f>J10/F10</f>
        <v>#DIV/0!</v>
      </c>
      <c r="K12" s="3"/>
      <c r="L12" s="3"/>
    </row>
  </sheetData>
  <mergeCells count="2">
    <mergeCell ref="A1:J1"/>
    <mergeCell ref="F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FINAL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Alister Sore</dc:creator>
  <cp:lastModifiedBy>David Joseph Vicknair</cp:lastModifiedBy>
  <dcterms:created xsi:type="dcterms:W3CDTF">2026-01-26T18:16:39Z</dcterms:created>
  <dcterms:modified xsi:type="dcterms:W3CDTF">2026-02-05T20:45:35Z</dcterms:modified>
</cp:coreProperties>
</file>